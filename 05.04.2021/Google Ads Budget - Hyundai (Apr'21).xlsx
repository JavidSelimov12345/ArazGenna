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801"/>
  <workbookPr/>
  <mc:AlternateContent xmlns:mc="http://schemas.openxmlformats.org/markup-compatibility/2006">
    <mc:Choice Requires="x15">
      <x15ac:absPath xmlns:x15ac="http://schemas.microsoft.com/office/spreadsheetml/2010/11/ac" url="C:\Users\Jamil Mirgavvam\Downloads\HYUNDAI\"/>
    </mc:Choice>
  </mc:AlternateContent>
  <xr:revisionPtr revIDLastSave="0" documentId="13_ncr:1_{1A6A825C-A137-42A3-A391-7583A26C9469}" xr6:coauthVersionLast="46" xr6:coauthVersionMax="46" xr10:uidLastSave="{00000000-0000-0000-0000-000000000000}"/>
  <bookViews>
    <workbookView xWindow="-108" yWindow="-108" windowWidth="23256" windowHeight="12576" xr2:uid="{00000000-000D-0000-FFFF-FFFF00000000}"/>
  </bookViews>
  <sheets>
    <sheet name="Estimated" sheetId="3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26" i="3" l="1"/>
  <c r="H24" i="3"/>
  <c r="E24" i="3" s="1"/>
  <c r="H23" i="3"/>
  <c r="F23" i="3" s="1"/>
  <c r="H22" i="3"/>
  <c r="H21" i="3"/>
  <c r="E21" i="3" s="1"/>
  <c r="B17" i="3"/>
  <c r="H15" i="3"/>
  <c r="E15" i="3" s="1"/>
  <c r="H14" i="3"/>
  <c r="F14" i="3" s="1"/>
  <c r="H13" i="3"/>
  <c r="E13" i="3" s="1"/>
  <c r="H12" i="3"/>
  <c r="H6" i="3"/>
  <c r="F6" i="3" s="1"/>
  <c r="H4" i="3"/>
  <c r="E4" i="3" s="1"/>
  <c r="H5" i="3"/>
  <c r="F5" i="3" s="1"/>
  <c r="E23" i="3" l="1"/>
  <c r="E14" i="3"/>
  <c r="F15" i="3"/>
  <c r="H26" i="3"/>
  <c r="F21" i="3"/>
  <c r="F24" i="3"/>
  <c r="F22" i="3"/>
  <c r="E22" i="3"/>
  <c r="H17" i="3"/>
  <c r="F13" i="3"/>
  <c r="E12" i="3"/>
  <c r="F12" i="3"/>
  <c r="F4" i="3"/>
  <c r="E6" i="3"/>
  <c r="E5" i="3"/>
  <c r="E26" i="3" l="1"/>
  <c r="E17" i="3"/>
  <c r="F17" i="3"/>
  <c r="F26" i="3"/>
  <c r="H3" i="3"/>
  <c r="H8" i="3" l="1"/>
  <c r="H28" i="3" s="1"/>
  <c r="H30" i="3" l="1"/>
  <c r="B8" i="3"/>
  <c r="F3" i="3" l="1"/>
  <c r="F8" i="3" s="1"/>
  <c r="E3" i="3"/>
  <c r="H31" i="3" l="1"/>
  <c r="H33" i="3" s="1"/>
  <c r="E8" i="3"/>
  <c r="H35" i="3" l="1"/>
  <c r="H36" i="3" s="1"/>
  <c r="H38" i="3" l="1"/>
</calcChain>
</file>

<file path=xl/sharedStrings.xml><?xml version="1.0" encoding="utf-8"?>
<sst xmlns="http://schemas.openxmlformats.org/spreadsheetml/2006/main" count="66" uniqueCount="33">
  <si>
    <t>-</t>
  </si>
  <si>
    <t>Baxış Dəyəri</t>
  </si>
  <si>
    <t>Baxış Sayı</t>
  </si>
  <si>
    <t>Müddət (gün)</t>
  </si>
  <si>
    <t>Aylıq Büdcə</t>
  </si>
  <si>
    <t>Cəmi</t>
  </si>
  <si>
    <t>Vergi - 18%</t>
  </si>
  <si>
    <t>Agentlik - 15%</t>
  </si>
  <si>
    <t>Günlük Büdcə</t>
  </si>
  <si>
    <t>3. Yaş Həddləri 25 dən 55 dək</t>
  </si>
  <si>
    <t>5. Yenidən Hədəfləmə - Sayta Girənlərə vaxt aşırı reklam göstərmə</t>
  </si>
  <si>
    <t>4. Gender 10% Qadın - 90% Kişi</t>
  </si>
  <si>
    <t>Manat Evq.</t>
  </si>
  <si>
    <t>Kampaniyanin Adi</t>
  </si>
  <si>
    <t>Yekun</t>
  </si>
  <si>
    <t>Vergi Xərcləri- 17%</t>
  </si>
  <si>
    <t>1. Auditoriya Hədəfləmə - Xəbərlər, Cars, Biznes, Ekonomika, Finans, İdman</t>
  </si>
  <si>
    <t>Hədəfləmə</t>
  </si>
  <si>
    <t>6. Yenidən Hədəfləmə - Sayta və Youtube Kanalına girənlərə vaxt aşırı reklam göstərmə</t>
  </si>
  <si>
    <t xml:space="preserve">2. Açar Sözləri İlə Hədəfləmə (Kontent Hədəfləmə) - Rəqiblər </t>
  </si>
  <si>
    <t>Klik Dəyəri</t>
  </si>
  <si>
    <t>Saytlarda Banner Reklam (HTML5 banner) + Remarketing</t>
  </si>
  <si>
    <t xml:space="preserve">Youtube Banner Reklam </t>
  </si>
  <si>
    <t xml:space="preserve">Remarketing </t>
  </si>
  <si>
    <t>Google Banner + Video Reklam</t>
  </si>
  <si>
    <t>Tucson Büdcə</t>
  </si>
  <si>
    <t>Elantra Büdcə</t>
  </si>
  <si>
    <t>Total Budget</t>
  </si>
  <si>
    <t>Santa Fe Büdcə</t>
  </si>
  <si>
    <t>Klik / Baxış Sayı</t>
  </si>
  <si>
    <t>Youtube Banner Reklam</t>
  </si>
  <si>
    <r>
      <t xml:space="preserve">Video Reklam (15 saniyə)  </t>
    </r>
    <r>
      <rPr>
        <sz val="11"/>
        <color rgb="FFFF0000"/>
        <rFont val="Calibri"/>
        <family val="2"/>
        <scheme val="minor"/>
      </rPr>
      <t>(Baxış Sayı)</t>
    </r>
  </si>
  <si>
    <r>
      <t xml:space="preserve">Video Reklam (15 saniyə) </t>
    </r>
    <r>
      <rPr>
        <sz val="11"/>
        <color rgb="FFFF0000"/>
        <rFont val="Calibri"/>
        <family val="2"/>
        <scheme val="minor"/>
      </rPr>
      <t>(Baxış Sayı)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</si>
</sst>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(&quot;$&quot;* #,##0.00_);_(&quot;$&quot;* \(#,##0.00\);_(&quot;$&quot;* &quot;-&quot;??_);_(@_)"/>
    <numFmt numFmtId="164" formatCode="&quot;$&quot;#,##0"/>
    <numFmt numFmtId="165" formatCode="&quot;$&quot;#,##0.00"/>
    <numFmt numFmtId="166" formatCode="&quot;$&quot;#,##0.000"/>
    <numFmt numFmtId="167" formatCode="#,##0\ [$₼-82C]"/>
    <numFmt numFmtId="168" formatCode="#,##0.00\ [$₼-82C]"/>
    <numFmt numFmtId="169" formatCode="_(&quot;$&quot;* #,##0.000_);_(&quot;$&quot;* \(#,##0.000\);_(&quot;$&quot;* &quot;-&quot;??_);_(@_)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b/>
      <sz val="1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44" fontId="4" fillId="0" borderId="0" applyFont="0" applyFill="0" applyBorder="0" applyAlignment="0" applyProtection="0"/>
    <xf numFmtId="9" fontId="4" fillId="0" borderId="0" applyFont="0" applyFill="0" applyBorder="0" applyAlignment="0" applyProtection="0"/>
  </cellStyleXfs>
  <cellXfs count="23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165" fontId="0" fillId="3" borderId="1" xfId="0" applyNumberFormat="1" applyFill="1" applyBorder="1" applyAlignment="1">
      <alignment horizontal="center" vertical="center"/>
    </xf>
    <xf numFmtId="3" fontId="0" fillId="3" borderId="1" xfId="0" applyNumberForma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164" fontId="0" fillId="3" borderId="1" xfId="0" applyNumberFormat="1" applyFill="1" applyBorder="1" applyAlignment="1">
      <alignment horizontal="center" vertical="center"/>
    </xf>
    <xf numFmtId="0" fontId="1" fillId="3" borderId="1" xfId="0" applyFont="1" applyFill="1" applyBorder="1"/>
    <xf numFmtId="164" fontId="1" fillId="3" borderId="1" xfId="0" applyNumberFormat="1" applyFont="1" applyFill="1" applyBorder="1" applyAlignment="1">
      <alignment horizontal="center"/>
    </xf>
    <xf numFmtId="3" fontId="1" fillId="3" borderId="1" xfId="0" applyNumberFormat="1" applyFont="1" applyFill="1" applyBorder="1" applyAlignment="1">
      <alignment horizontal="center"/>
    </xf>
    <xf numFmtId="164" fontId="2" fillId="3" borderId="1" xfId="0" applyNumberFormat="1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 vertical="center" wrapText="1"/>
    </xf>
    <xf numFmtId="165" fontId="1" fillId="3" borderId="1" xfId="0" applyNumberFormat="1" applyFont="1" applyFill="1" applyBorder="1" applyAlignment="1">
      <alignment horizontal="center"/>
    </xf>
    <xf numFmtId="0" fontId="0" fillId="3" borderId="1" xfId="0" applyFill="1" applyBorder="1" applyAlignment="1">
      <alignment horizontal="left" vertical="center" wrapText="1"/>
    </xf>
    <xf numFmtId="0" fontId="0" fillId="0" borderId="0" xfId="0" applyAlignment="1">
      <alignment horizontal="center"/>
    </xf>
    <xf numFmtId="166" fontId="0" fillId="3" borderId="1" xfId="0" applyNumberFormat="1" applyFill="1" applyBorder="1" applyAlignment="1">
      <alignment horizontal="center" vertical="center"/>
    </xf>
    <xf numFmtId="167" fontId="2" fillId="3" borderId="1" xfId="0" applyNumberFormat="1" applyFont="1" applyFill="1" applyBorder="1" applyAlignment="1">
      <alignment horizontal="center"/>
    </xf>
    <xf numFmtId="164" fontId="0" fillId="0" borderId="0" xfId="0" applyNumberFormat="1"/>
    <xf numFmtId="165" fontId="2" fillId="3" borderId="1" xfId="0" applyNumberFormat="1" applyFont="1" applyFill="1" applyBorder="1" applyAlignment="1">
      <alignment horizontal="center"/>
    </xf>
    <xf numFmtId="168" fontId="2" fillId="3" borderId="1" xfId="0" applyNumberFormat="1" applyFont="1" applyFill="1" applyBorder="1" applyAlignment="1">
      <alignment horizontal="center"/>
    </xf>
    <xf numFmtId="169" fontId="0" fillId="3" borderId="1" xfId="1" applyNumberFormat="1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/>
    </xf>
    <xf numFmtId="9" fontId="0" fillId="0" borderId="0" xfId="2" applyNumberFormat="1" applyFont="1"/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48"/>
  <sheetViews>
    <sheetView tabSelected="1" zoomScale="103" zoomScaleNormal="85" workbookViewId="0">
      <selection activeCell="A11" sqref="A11"/>
    </sheetView>
  </sheetViews>
  <sheetFormatPr defaultRowHeight="14.4" x14ac:dyDescent="0.3"/>
  <cols>
    <col min="1" max="1" width="78" bestFit="1" customWidth="1"/>
    <col min="2" max="2" width="12.44140625" bestFit="1" customWidth="1"/>
    <col min="3" max="3" width="9.6640625" bestFit="1" customWidth="1"/>
    <col min="4" max="4" width="10.88671875" bestFit="1" customWidth="1"/>
    <col min="5" max="5" width="12.21875" style="13" customWidth="1"/>
    <col min="6" max="6" width="10.6640625" bestFit="1" customWidth="1"/>
    <col min="7" max="7" width="17.44140625" bestFit="1" customWidth="1"/>
    <col min="8" max="8" width="10.5546875" bestFit="1" customWidth="1"/>
  </cols>
  <sheetData>
    <row r="1" spans="1:13" x14ac:dyDescent="0.3">
      <c r="A1" s="20" t="s">
        <v>25</v>
      </c>
      <c r="B1" s="21"/>
      <c r="C1" s="21"/>
      <c r="D1" s="21"/>
      <c r="E1" s="21"/>
      <c r="F1" s="21"/>
      <c r="G1" s="21"/>
      <c r="H1" s="21"/>
    </row>
    <row r="2" spans="1:13" ht="28.8" x14ac:dyDescent="0.3">
      <c r="A2" s="1" t="s">
        <v>13</v>
      </c>
      <c r="B2" s="10" t="s">
        <v>8</v>
      </c>
      <c r="C2" s="10" t="s">
        <v>20</v>
      </c>
      <c r="D2" s="10" t="s">
        <v>1</v>
      </c>
      <c r="E2" s="10" t="s">
        <v>29</v>
      </c>
      <c r="F2" s="10" t="s">
        <v>2</v>
      </c>
      <c r="G2" s="10" t="s">
        <v>3</v>
      </c>
      <c r="H2" s="10" t="s">
        <v>4</v>
      </c>
    </row>
    <row r="3" spans="1:13" x14ac:dyDescent="0.3">
      <c r="A3" s="12" t="s">
        <v>21</v>
      </c>
      <c r="B3" s="5">
        <v>15</v>
      </c>
      <c r="C3" s="14">
        <v>0.06</v>
      </c>
      <c r="D3" s="2">
        <v>0.115</v>
      </c>
      <c r="E3" s="3">
        <f>ROUND(H3/C3,0)</f>
        <v>7500</v>
      </c>
      <c r="F3" s="3">
        <f>H3/D3*1000</f>
        <v>3913043.4782608696</v>
      </c>
      <c r="G3" s="4">
        <v>30</v>
      </c>
      <c r="H3" s="5">
        <f>G3*B3</f>
        <v>450</v>
      </c>
      <c r="J3" s="16"/>
    </row>
    <row r="4" spans="1:13" x14ac:dyDescent="0.3">
      <c r="A4" s="12" t="s">
        <v>22</v>
      </c>
      <c r="B4" s="5">
        <v>12</v>
      </c>
      <c r="C4" s="14">
        <v>0.01</v>
      </c>
      <c r="D4" s="2">
        <v>0.18</v>
      </c>
      <c r="E4" s="3">
        <f>ROUND(H4/C4,0)</f>
        <v>36000</v>
      </c>
      <c r="F4" s="3">
        <f>H4/D4*1000</f>
        <v>2000000</v>
      </c>
      <c r="G4" s="4">
        <v>30</v>
      </c>
      <c r="H4" s="5">
        <f>G4*B4</f>
        <v>360</v>
      </c>
      <c r="J4" s="16"/>
      <c r="K4" s="22"/>
      <c r="L4" s="16"/>
      <c r="M4" s="16"/>
    </row>
    <row r="5" spans="1:13" x14ac:dyDescent="0.3">
      <c r="A5" s="12" t="s">
        <v>32</v>
      </c>
      <c r="B5" s="5">
        <v>20</v>
      </c>
      <c r="C5" s="19">
        <v>2.5000000000000001E-3</v>
      </c>
      <c r="D5" s="2">
        <v>0.55000000000000004</v>
      </c>
      <c r="E5" s="3">
        <f>ROUND(H5/C5,0)</f>
        <v>240000</v>
      </c>
      <c r="F5" s="3">
        <f>H5/D5*500</f>
        <v>545454.54545454541</v>
      </c>
      <c r="G5" s="4">
        <v>30</v>
      </c>
      <c r="H5" s="5">
        <f>G5*B5</f>
        <v>600</v>
      </c>
      <c r="J5" s="16"/>
      <c r="K5" s="22"/>
      <c r="L5" s="16"/>
      <c r="M5" s="16"/>
    </row>
    <row r="6" spans="1:13" x14ac:dyDescent="0.3">
      <c r="A6" s="12" t="s">
        <v>23</v>
      </c>
      <c r="B6" s="5">
        <v>5</v>
      </c>
      <c r="C6" s="14">
        <v>1.4999999999999999E-2</v>
      </c>
      <c r="D6" s="2">
        <v>0.2</v>
      </c>
      <c r="E6" s="3">
        <f>ROUND(H6/C6,0)</f>
        <v>10000</v>
      </c>
      <c r="F6" s="3">
        <f>H6/D6*1000</f>
        <v>750000</v>
      </c>
      <c r="G6" s="4">
        <v>30</v>
      </c>
      <c r="H6" s="5">
        <f>G6*B6</f>
        <v>150</v>
      </c>
      <c r="J6" s="16"/>
      <c r="K6" s="22"/>
      <c r="L6" s="16"/>
      <c r="M6" s="16"/>
    </row>
    <row r="7" spans="1:13" x14ac:dyDescent="0.3">
      <c r="L7" s="16"/>
      <c r="M7" s="16"/>
    </row>
    <row r="8" spans="1:13" x14ac:dyDescent="0.3">
      <c r="A8" s="6" t="s">
        <v>5</v>
      </c>
      <c r="B8" s="11">
        <f>SUM(B3:B7)</f>
        <v>52</v>
      </c>
      <c r="C8" s="7" t="s">
        <v>0</v>
      </c>
      <c r="D8" s="7" t="s">
        <v>0</v>
      </c>
      <c r="E8" s="8">
        <f>SUM(E3:E7)</f>
        <v>293500</v>
      </c>
      <c r="F8" s="8">
        <f>SUM(F3:F7)</f>
        <v>7208498.0237154141</v>
      </c>
      <c r="G8" s="7" t="s">
        <v>0</v>
      </c>
      <c r="H8" s="9">
        <f>SUM(H3:H7)</f>
        <v>1560</v>
      </c>
      <c r="I8" s="16"/>
      <c r="J8" s="16"/>
      <c r="K8" s="16"/>
    </row>
    <row r="9" spans="1:13" x14ac:dyDescent="0.3">
      <c r="I9" s="16"/>
      <c r="J9" s="16"/>
      <c r="L9" s="16"/>
    </row>
    <row r="10" spans="1:13" x14ac:dyDescent="0.3">
      <c r="A10" s="20" t="s">
        <v>26</v>
      </c>
      <c r="B10" s="21"/>
      <c r="C10" s="21"/>
      <c r="D10" s="21"/>
      <c r="E10" s="21"/>
      <c r="F10" s="21"/>
      <c r="G10" s="21"/>
      <c r="H10" s="21"/>
      <c r="L10" s="16"/>
    </row>
    <row r="11" spans="1:13" ht="28.8" x14ac:dyDescent="0.3">
      <c r="A11" s="1" t="s">
        <v>13</v>
      </c>
      <c r="B11" s="10" t="s">
        <v>8</v>
      </c>
      <c r="C11" s="10" t="s">
        <v>20</v>
      </c>
      <c r="D11" s="10" t="s">
        <v>1</v>
      </c>
      <c r="E11" s="10" t="s">
        <v>29</v>
      </c>
      <c r="F11" s="10" t="s">
        <v>2</v>
      </c>
      <c r="G11" s="10" t="s">
        <v>3</v>
      </c>
      <c r="H11" s="10" t="s">
        <v>4</v>
      </c>
      <c r="J11" s="16"/>
      <c r="L11" s="16"/>
    </row>
    <row r="12" spans="1:13" x14ac:dyDescent="0.3">
      <c r="A12" s="12" t="s">
        <v>21</v>
      </c>
      <c r="B12" s="5">
        <v>15</v>
      </c>
      <c r="C12" s="14">
        <v>0.06</v>
      </c>
      <c r="D12" s="2">
        <v>0.115</v>
      </c>
      <c r="E12" s="3">
        <f>ROUND(H12/C12,0)</f>
        <v>7500</v>
      </c>
      <c r="F12" s="3">
        <f>H12/D12*1000</f>
        <v>3913043.4782608696</v>
      </c>
      <c r="G12" s="4">
        <v>30</v>
      </c>
      <c r="H12" s="5">
        <f>G12*B12</f>
        <v>450</v>
      </c>
      <c r="L12" s="16"/>
    </row>
    <row r="13" spans="1:13" x14ac:dyDescent="0.3">
      <c r="A13" s="12" t="s">
        <v>22</v>
      </c>
      <c r="B13" s="5">
        <v>12</v>
      </c>
      <c r="C13" s="14">
        <v>0.01</v>
      </c>
      <c r="D13" s="2">
        <v>0.18</v>
      </c>
      <c r="E13" s="3">
        <f>ROUND(H13/C13,0)</f>
        <v>36000</v>
      </c>
      <c r="F13" s="3">
        <f>H13/D13*1000</f>
        <v>2000000</v>
      </c>
      <c r="G13" s="4">
        <v>30</v>
      </c>
      <c r="H13" s="5">
        <f>G13*B13</f>
        <v>360</v>
      </c>
    </row>
    <row r="14" spans="1:13" x14ac:dyDescent="0.3">
      <c r="A14" s="12" t="s">
        <v>32</v>
      </c>
      <c r="B14" s="5">
        <v>20</v>
      </c>
      <c r="C14" s="19">
        <v>2.5000000000000001E-3</v>
      </c>
      <c r="D14" s="2">
        <v>0.55000000000000004</v>
      </c>
      <c r="E14" s="3">
        <f>ROUND(H14/C14,0)</f>
        <v>240000</v>
      </c>
      <c r="F14" s="3">
        <f>H14/D14*500</f>
        <v>545454.54545454541</v>
      </c>
      <c r="G14" s="4">
        <v>30</v>
      </c>
      <c r="H14" s="5">
        <f>G14*B14</f>
        <v>600</v>
      </c>
    </row>
    <row r="15" spans="1:13" x14ac:dyDescent="0.3">
      <c r="A15" s="12" t="s">
        <v>23</v>
      </c>
      <c r="B15" s="5">
        <v>5</v>
      </c>
      <c r="C15" s="14">
        <v>1.4999999999999999E-2</v>
      </c>
      <c r="D15" s="2">
        <v>0.2</v>
      </c>
      <c r="E15" s="3">
        <f>ROUND(H15/C15,0)</f>
        <v>10000</v>
      </c>
      <c r="F15" s="3">
        <f>H15/D15*1000</f>
        <v>750000</v>
      </c>
      <c r="G15" s="4">
        <v>30</v>
      </c>
      <c r="H15" s="5">
        <f>G15*B15</f>
        <v>150</v>
      </c>
    </row>
    <row r="17" spans="1:8" x14ac:dyDescent="0.3">
      <c r="A17" s="6" t="s">
        <v>5</v>
      </c>
      <c r="B17" s="11">
        <f>SUM(B12:B16)</f>
        <v>52</v>
      </c>
      <c r="C17" s="7" t="s">
        <v>0</v>
      </c>
      <c r="D17" s="7" t="s">
        <v>0</v>
      </c>
      <c r="E17" s="8">
        <f>SUM(E12:E16)</f>
        <v>293500</v>
      </c>
      <c r="F17" s="8">
        <f>SUM(F12:F16)</f>
        <v>7208498.0237154141</v>
      </c>
      <c r="G17" s="7" t="s">
        <v>0</v>
      </c>
      <c r="H17" s="9">
        <f>SUM(H12:H16)</f>
        <v>1560</v>
      </c>
    </row>
    <row r="19" spans="1:8" x14ac:dyDescent="0.3">
      <c r="A19" s="20" t="s">
        <v>28</v>
      </c>
      <c r="B19" s="21"/>
      <c r="C19" s="21"/>
      <c r="D19" s="21"/>
      <c r="E19" s="21"/>
      <c r="F19" s="21"/>
      <c r="G19" s="21"/>
      <c r="H19" s="21"/>
    </row>
    <row r="20" spans="1:8" ht="28.8" x14ac:dyDescent="0.3">
      <c r="A20" s="1" t="s">
        <v>13</v>
      </c>
      <c r="B20" s="10" t="s">
        <v>8</v>
      </c>
      <c r="C20" s="10" t="s">
        <v>20</v>
      </c>
      <c r="D20" s="10" t="s">
        <v>1</v>
      </c>
      <c r="E20" s="10" t="s">
        <v>29</v>
      </c>
      <c r="F20" s="10" t="s">
        <v>2</v>
      </c>
      <c r="G20" s="10" t="s">
        <v>3</v>
      </c>
      <c r="H20" s="10" t="s">
        <v>4</v>
      </c>
    </row>
    <row r="21" spans="1:8" x14ac:dyDescent="0.3">
      <c r="A21" s="12" t="s">
        <v>21</v>
      </c>
      <c r="B21" s="5">
        <v>10</v>
      </c>
      <c r="C21" s="14">
        <v>0.06</v>
      </c>
      <c r="D21" s="2">
        <v>0.115</v>
      </c>
      <c r="E21" s="3">
        <f>ROUND(H21/C21,0)</f>
        <v>5000</v>
      </c>
      <c r="F21" s="3">
        <f>H21/D21*1000</f>
        <v>2608695.6521739131</v>
      </c>
      <c r="G21" s="4">
        <v>30</v>
      </c>
      <c r="H21" s="5">
        <f>G21*B21</f>
        <v>300</v>
      </c>
    </row>
    <row r="22" spans="1:8" x14ac:dyDescent="0.3">
      <c r="A22" s="12" t="s">
        <v>30</v>
      </c>
      <c r="B22" s="5">
        <v>10</v>
      </c>
      <c r="C22" s="14">
        <v>0.01</v>
      </c>
      <c r="D22" s="2">
        <v>0.18</v>
      </c>
      <c r="E22" s="3">
        <f>ROUND(H22/C22,0)</f>
        <v>30000</v>
      </c>
      <c r="F22" s="3">
        <f>H22/D22*1000</f>
        <v>1666666.6666666667</v>
      </c>
      <c r="G22" s="4">
        <v>30</v>
      </c>
      <c r="H22" s="5">
        <f>G22*B22</f>
        <v>300</v>
      </c>
    </row>
    <row r="23" spans="1:8" x14ac:dyDescent="0.3">
      <c r="A23" s="12" t="s">
        <v>31</v>
      </c>
      <c r="B23" s="5">
        <v>10</v>
      </c>
      <c r="C23" s="19">
        <v>2.5000000000000001E-3</v>
      </c>
      <c r="D23" s="2">
        <v>0.55000000000000004</v>
      </c>
      <c r="E23" s="3">
        <f>ROUND(H23/C23,0)</f>
        <v>120000</v>
      </c>
      <c r="F23" s="3">
        <f>H23/D23*500</f>
        <v>272727.27272727271</v>
      </c>
      <c r="G23" s="4">
        <v>30</v>
      </c>
      <c r="H23" s="5">
        <f>G23*B23</f>
        <v>300</v>
      </c>
    </row>
    <row r="24" spans="1:8" x14ac:dyDescent="0.3">
      <c r="A24" s="12" t="s">
        <v>23</v>
      </c>
      <c r="B24" s="5">
        <v>3.34</v>
      </c>
      <c r="C24" s="14">
        <v>1.4999999999999999E-2</v>
      </c>
      <c r="D24" s="2">
        <v>0.2</v>
      </c>
      <c r="E24" s="3">
        <f>ROUND(H24/C24,0)</f>
        <v>6680</v>
      </c>
      <c r="F24" s="3">
        <f>H24/D24*1000</f>
        <v>500999.99999999994</v>
      </c>
      <c r="G24" s="4">
        <v>30</v>
      </c>
      <c r="H24" s="5">
        <f>G24*B24</f>
        <v>100.19999999999999</v>
      </c>
    </row>
    <row r="26" spans="1:8" x14ac:dyDescent="0.3">
      <c r="A26" s="6" t="s">
        <v>5</v>
      </c>
      <c r="B26" s="11">
        <f>SUM(B21:B25)</f>
        <v>33.340000000000003</v>
      </c>
      <c r="C26" s="7" t="s">
        <v>0</v>
      </c>
      <c r="D26" s="7" t="s">
        <v>0</v>
      </c>
      <c r="E26" s="8">
        <f>SUM(E21:E25)</f>
        <v>161680</v>
      </c>
      <c r="F26" s="8">
        <f>SUM(F21:F25)</f>
        <v>5049089.5915678525</v>
      </c>
      <c r="G26" s="7" t="s">
        <v>0</v>
      </c>
      <c r="H26" s="9">
        <f>SUM(H21:H25)</f>
        <v>1000.2</v>
      </c>
    </row>
    <row r="28" spans="1:8" x14ac:dyDescent="0.3">
      <c r="G28" s="7" t="s">
        <v>27</v>
      </c>
      <c r="H28" s="9">
        <f>H26+H17+H8</f>
        <v>4120.2</v>
      </c>
    </row>
    <row r="30" spans="1:8" x14ac:dyDescent="0.3">
      <c r="G30" s="7" t="s">
        <v>7</v>
      </c>
      <c r="H30" s="17">
        <f>H28*15%</f>
        <v>618.03</v>
      </c>
    </row>
    <row r="31" spans="1:8" x14ac:dyDescent="0.3">
      <c r="G31" s="7" t="s">
        <v>6</v>
      </c>
      <c r="H31" s="9">
        <f>H8*18%</f>
        <v>280.8</v>
      </c>
    </row>
    <row r="33" spans="1:8" x14ac:dyDescent="0.3">
      <c r="G33" s="7" t="s">
        <v>5</v>
      </c>
      <c r="H33" s="9">
        <f>SUM(H28:H31)</f>
        <v>5019.03</v>
      </c>
    </row>
    <row r="35" spans="1:8" x14ac:dyDescent="0.3">
      <c r="G35" s="7" t="s">
        <v>12</v>
      </c>
      <c r="H35" s="15">
        <f>H33*1.7</f>
        <v>8532.3509999999987</v>
      </c>
    </row>
    <row r="36" spans="1:8" x14ac:dyDescent="0.3">
      <c r="G36" s="7" t="s">
        <v>15</v>
      </c>
      <c r="H36" s="18">
        <f>H35*17%</f>
        <v>1450.4996699999999</v>
      </c>
    </row>
    <row r="38" spans="1:8" x14ac:dyDescent="0.3">
      <c r="G38" s="7" t="s">
        <v>14</v>
      </c>
      <c r="H38" s="15">
        <f>H35+H36</f>
        <v>9982.850669999998</v>
      </c>
    </row>
    <row r="41" spans="1:8" x14ac:dyDescent="0.3">
      <c r="A41" t="s">
        <v>17</v>
      </c>
    </row>
    <row r="42" spans="1:8" x14ac:dyDescent="0.3">
      <c r="A42" t="s">
        <v>24</v>
      </c>
    </row>
    <row r="43" spans="1:8" x14ac:dyDescent="0.3">
      <c r="A43" t="s">
        <v>16</v>
      </c>
    </row>
    <row r="44" spans="1:8" x14ac:dyDescent="0.3">
      <c r="A44" t="s">
        <v>19</v>
      </c>
    </row>
    <row r="45" spans="1:8" x14ac:dyDescent="0.3">
      <c r="A45" t="s">
        <v>9</v>
      </c>
    </row>
    <row r="46" spans="1:8" x14ac:dyDescent="0.3">
      <c r="A46" t="s">
        <v>11</v>
      </c>
    </row>
    <row r="47" spans="1:8" x14ac:dyDescent="0.3">
      <c r="A47" t="s">
        <v>10</v>
      </c>
    </row>
    <row r="48" spans="1:8" x14ac:dyDescent="0.3">
      <c r="A48" t="s">
        <v>18</v>
      </c>
    </row>
  </sheetData>
  <mergeCells count="3">
    <mergeCell ref="A1:H1"/>
    <mergeCell ref="A10:H10"/>
    <mergeCell ref="A19:H19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Estimated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GENNA</dc:creator>
  <cp:lastModifiedBy>Jamil Mirgavvam</cp:lastModifiedBy>
  <cp:lastPrinted>2020-11-18T13:56:08Z</cp:lastPrinted>
  <dcterms:created xsi:type="dcterms:W3CDTF">2013-09-26T07:00:43Z</dcterms:created>
  <dcterms:modified xsi:type="dcterms:W3CDTF">2021-04-02T13:37:53Z</dcterms:modified>
</cp:coreProperties>
</file>