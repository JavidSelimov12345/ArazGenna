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il Mirgavvam\Downloads\HYUNDAI REPORT MAR'21\"/>
    </mc:Choice>
  </mc:AlternateContent>
  <xr:revisionPtr revIDLastSave="0" documentId="13_ncr:1_{B9BC1B06-FADC-48FF-BE53-8DCD0CC6BAB1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Sheet1!$A$1:$L$35</definedName>
  </definedNames>
  <calcPr calcId="191029"/>
</workbook>
</file>

<file path=xl/calcChain.xml><?xml version="1.0" encoding="utf-8"?>
<calcChain xmlns="http://schemas.openxmlformats.org/spreadsheetml/2006/main">
  <c r="L38" i="1" l="1"/>
  <c r="K38" i="1"/>
  <c r="J38" i="1"/>
  <c r="I38" i="1"/>
  <c r="H38" i="1"/>
  <c r="G38" i="1"/>
  <c r="F38" i="1"/>
  <c r="D38" i="1"/>
  <c r="C38" i="1"/>
  <c r="B38" i="1"/>
</calcChain>
</file>

<file path=xl/sharedStrings.xml><?xml version="1.0" encoding="utf-8"?>
<sst xmlns="http://schemas.openxmlformats.org/spreadsheetml/2006/main" count="86" uniqueCount="48">
  <si>
    <t>Campaign name</t>
  </si>
  <si>
    <t>Results</t>
  </si>
  <si>
    <t>Reach</t>
  </si>
  <si>
    <t>Impressions</t>
  </si>
  <si>
    <t>Cost per results</t>
  </si>
  <si>
    <t>Amount spent (USD)</t>
  </si>
  <si>
    <t>Clicks (all)</t>
  </si>
  <si>
    <t>Page engagement</t>
  </si>
  <si>
    <t>Post comments</t>
  </si>
  <si>
    <t>Post reactions</t>
  </si>
  <si>
    <t>Post saves</t>
  </si>
  <si>
    <t>Post shares</t>
  </si>
  <si>
    <t>8 Mart Beynəlxalq Qadınlar Günü Facebook 03.03.21</t>
  </si>
  <si>
    <t/>
  </si>
  <si>
    <t>8 Mart Beynəlxalq Qadınlar Günü Instagram 03.03.21</t>
  </si>
  <si>
    <t>Tucson Preorder Facebook  01.03.2021</t>
  </si>
  <si>
    <t>Tucson Preorder İnstagram 01.03.2021</t>
  </si>
  <si>
    <t>Hyundai  Sonata instagram 04.03.21</t>
  </si>
  <si>
    <t>Hyundai  Sonata Facebook 04.03.21</t>
  </si>
  <si>
    <t>Yel Çərşənbəsi Facebook 09.03.20</t>
  </si>
  <si>
    <t>Yel Çərşənbəsi Instagram 09.03.20</t>
  </si>
  <si>
    <t>Hyundai Santa Fe - Sonata Instagram 09.03.21</t>
  </si>
  <si>
    <t>Hyundai Santa Fe - Sonata Facebook 09.03.21</t>
  </si>
  <si>
    <t>Hyundai Tucson Video post instagram 10.03.21</t>
  </si>
  <si>
    <t>Hyundai Tucson Video post facebook 10.03.21</t>
  </si>
  <si>
    <t>8 Mart Video Facebook Post 11.03.21</t>
  </si>
  <si>
    <t>8 Mart Video Instagram Post 11.03.21</t>
  </si>
  <si>
    <t>Hyundai ELANTRA Instagram 15.03.21</t>
  </si>
  <si>
    <t>Hyundai ELANTRA Facebook 15.03.21</t>
  </si>
  <si>
    <t>Tucson Preorder İnstagram 15.03.2021</t>
  </si>
  <si>
    <t>Tucson Preorder Facebook  15.03.2021</t>
  </si>
  <si>
    <t>Hyundai Accent Facebook 18.20.21</t>
  </si>
  <si>
    <t>Hyundai Accent Instagram 18.20.21</t>
  </si>
  <si>
    <t>Hyundai Novruz Post Facebook 20.03.21</t>
  </si>
  <si>
    <t>Hyundai Novruz Post Instagram 20.03.21</t>
  </si>
  <si>
    <t>Genesis Novruz Post Facebook 20.03.21</t>
  </si>
  <si>
    <t>Genesis Novruz Post Instagram 20.03.21</t>
  </si>
  <si>
    <t>Hyundai  DJ Tural Elantra Post Facebook 22.02.21</t>
  </si>
  <si>
    <t>Hyundai  DJ Tural Elantra Post Instagram 22.02.21</t>
  </si>
  <si>
    <t>Hyundai  Staria Post Facebook 23.02.21</t>
  </si>
  <si>
    <t>Hyundai Tucson Video post facebook 24.03.21</t>
  </si>
  <si>
    <t>Hyundai Tucson Video post instagram 24.03.21</t>
  </si>
  <si>
    <t>Hyundai Palisade Post 27.03.21 Instagram</t>
  </si>
  <si>
    <t>Hyundai Palisade Post 27.03.21 Facebook</t>
  </si>
  <si>
    <t>Hyundai  Staria Post Instagram 23.02.21</t>
  </si>
  <si>
    <t>Hyundai Santa Fe və Sonata modelləri Təklif facebook 25.03.21</t>
  </si>
  <si>
    <t>Hyundai Santa Fe və Sonata modelləri Təklif instagram 25.03.21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</si>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</sst>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</font>
    <font>
      <b/>
      <sz val="10"/>
      <name val="Verdana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9" fillId="0" borderId="0" xfId="0" applyNumberFormat="1" applyFont="1" applyFill="1" applyBorder="1" applyAlignment="1" applyProtection="1">
      <alignment horizontal="left"/>
    </xf>
    <xf numFmtId="0" fontId="18" fillId="0" borderId="0" xfId="0" applyNumberFormat="1" applyFont="1" applyFill="1" applyBorder="1" applyAlignment="1" applyProtection="1">
      <alignment horizontal="left"/>
    </xf>
    <xf numFmtId="0" fontId="19" fillId="0" borderId="0" xfId="0" applyNumberFormat="1" applyFont="1" applyFill="1" applyBorder="1" applyAlignment="1" applyProtection="1">
      <alignment horizontal="center"/>
    </xf>
    <xf numFmtId="1" fontId="18" fillId="0" borderId="0" xfId="0" applyNumberFormat="1" applyFont="1" applyFill="1" applyBorder="1" applyAlignment="1" applyProtection="1">
      <alignment horizontal="center"/>
    </xf>
    <xf numFmtId="0" fontId="18" fillId="0" borderId="0" xfId="0" applyNumberFormat="1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44" fontId="19" fillId="0" borderId="0" xfId="1" applyFont="1" applyFill="1" applyBorder="1" applyAlignment="1" applyProtection="1">
      <alignment horizontal="center"/>
    </xf>
    <xf numFmtId="44" fontId="18" fillId="0" borderId="0" xfId="1" applyFont="1" applyFill="1" applyBorder="1" applyAlignment="1" applyProtection="1">
      <alignment horizontal="center"/>
    </xf>
    <xf numFmtId="44" fontId="0" fillId="0" borderId="0" xfId="1" applyFont="1" applyAlignment="1">
      <alignment horizontal="center"/>
    </xf>
    <xf numFmtId="1" fontId="0" fillId="0" borderId="0" xfId="0" applyNumberForma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abSelected="1" workbookViewId="0">
      <selection activeCell="E15" sqref="E15"/>
    </sheetView>
  </sheetViews>
  <sheetFormatPr defaultRowHeight="14.4" x14ac:dyDescent="0.3"/>
  <cols>
    <col min="1" max="1" width="64.6640625" bestFit="1" customWidth="1"/>
    <col min="2" max="2" width="8.77734375" style="6" bestFit="1" customWidth="1"/>
    <col min="3" max="3" width="8.33203125" style="6" bestFit="1" customWidth="1"/>
    <col min="4" max="4" width="14.21875" style="6" bestFit="1" customWidth="1"/>
    <col min="5" max="5" width="17.88671875" style="9" bestFit="1" customWidth="1"/>
    <col min="6" max="6" width="23.33203125" style="9" bestFit="1" customWidth="1"/>
    <col min="7" max="7" width="12.33203125" style="6" bestFit="1" customWidth="1"/>
    <col min="8" max="8" width="20.109375" style="6" bestFit="1" customWidth="1"/>
    <col min="9" max="9" width="17.5546875" style="6" bestFit="1" customWidth="1"/>
    <col min="10" max="10" width="16.21875" style="6" bestFit="1" customWidth="1"/>
    <col min="11" max="11" width="12.21875" style="6" bestFit="1" customWidth="1"/>
    <col min="12" max="12" width="13.33203125" style="6" bestFit="1" customWidth="1"/>
    <col min="13" max="13" width="31.6640625" style="6" bestFit="1" customWidth="1"/>
  </cols>
  <sheetData>
    <row r="1" spans="1:13" x14ac:dyDescent="0.3">
      <c r="A1" s="1" t="s">
        <v>0</v>
      </c>
      <c r="B1" s="3" t="s">
        <v>1</v>
      </c>
      <c r="C1" s="3" t="s">
        <v>2</v>
      </c>
      <c r="D1" s="3" t="s">
        <v>3</v>
      </c>
      <c r="E1" s="7" t="s">
        <v>4</v>
      </c>
      <c r="F1" s="7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/>
    </row>
    <row r="2" spans="1:13" x14ac:dyDescent="0.3">
      <c r="A2" s="2" t="s">
        <v>29</v>
      </c>
      <c r="B2" s="4">
        <v>59321</v>
      </c>
      <c r="C2" s="4">
        <v>116809</v>
      </c>
      <c r="D2" s="4">
        <v>181810</v>
      </c>
      <c r="E2" s="8">
        <v>8.43E-4</v>
      </c>
      <c r="F2" s="8">
        <v>50</v>
      </c>
      <c r="G2" s="4">
        <v>789</v>
      </c>
      <c r="H2" s="4">
        <v>59321</v>
      </c>
      <c r="I2" s="4">
        <v>23</v>
      </c>
      <c r="J2" s="4">
        <v>3123</v>
      </c>
      <c r="K2" s="4">
        <v>45</v>
      </c>
      <c r="L2" s="4">
        <v>225</v>
      </c>
      <c r="M2" s="5"/>
    </row>
    <row r="3" spans="1:13" x14ac:dyDescent="0.3">
      <c r="A3" s="2" t="s">
        <v>30</v>
      </c>
      <c r="B3" s="4">
        <v>42852</v>
      </c>
      <c r="C3" s="4">
        <v>67206</v>
      </c>
      <c r="D3" s="4">
        <v>120142</v>
      </c>
      <c r="E3" s="8">
        <v>1.1670000000000001E-3</v>
      </c>
      <c r="F3" s="8">
        <v>50</v>
      </c>
      <c r="G3" s="4">
        <v>4228</v>
      </c>
      <c r="H3" s="4">
        <v>42852</v>
      </c>
      <c r="I3" s="4">
        <v>27</v>
      </c>
      <c r="J3" s="4">
        <v>475</v>
      </c>
      <c r="K3" s="4">
        <v>3</v>
      </c>
      <c r="L3" s="4">
        <v>32</v>
      </c>
      <c r="M3" s="5"/>
    </row>
    <row r="4" spans="1:13" x14ac:dyDescent="0.3">
      <c r="A4" s="2" t="s">
        <v>20</v>
      </c>
      <c r="B4" s="4">
        <v>29325</v>
      </c>
      <c r="C4" s="4">
        <v>56975</v>
      </c>
      <c r="D4" s="4">
        <v>62493</v>
      </c>
      <c r="E4" s="8">
        <v>6.8199999999999999E-4</v>
      </c>
      <c r="F4" s="8">
        <v>20</v>
      </c>
      <c r="G4" s="4">
        <v>131</v>
      </c>
      <c r="H4" s="4">
        <v>29325</v>
      </c>
      <c r="I4" s="4">
        <v>2</v>
      </c>
      <c r="J4" s="4">
        <v>1127</v>
      </c>
      <c r="K4" s="4">
        <v>5</v>
      </c>
      <c r="L4" s="4">
        <v>1</v>
      </c>
      <c r="M4" s="5"/>
    </row>
    <row r="5" spans="1:13" x14ac:dyDescent="0.3">
      <c r="A5" s="2" t="s">
        <v>37</v>
      </c>
      <c r="B5" s="4">
        <v>25122</v>
      </c>
      <c r="C5" s="4">
        <v>57809</v>
      </c>
      <c r="D5" s="4">
        <v>75807</v>
      </c>
      <c r="E5" s="8">
        <v>1.307E-3</v>
      </c>
      <c r="F5" s="8">
        <v>32.83</v>
      </c>
      <c r="G5" s="4">
        <v>2744</v>
      </c>
      <c r="H5" s="4">
        <v>25122</v>
      </c>
      <c r="I5" s="4">
        <v>24</v>
      </c>
      <c r="J5" s="4">
        <v>284</v>
      </c>
      <c r="K5" s="4">
        <v>2</v>
      </c>
      <c r="L5" s="4">
        <v>11</v>
      </c>
      <c r="M5" s="5"/>
    </row>
    <row r="6" spans="1:13" x14ac:dyDescent="0.3">
      <c r="A6" s="2" t="s">
        <v>26</v>
      </c>
      <c r="B6" s="4">
        <v>265264</v>
      </c>
      <c r="C6" s="4">
        <v>265264</v>
      </c>
      <c r="D6" s="4">
        <v>269369</v>
      </c>
      <c r="E6" s="8">
        <v>0.17446800000000001</v>
      </c>
      <c r="F6" s="8">
        <v>46.28</v>
      </c>
      <c r="G6" s="4">
        <v>380</v>
      </c>
      <c r="H6" s="4">
        <v>23219</v>
      </c>
      <c r="I6" s="4">
        <v>1</v>
      </c>
      <c r="J6" s="4">
        <v>122</v>
      </c>
      <c r="K6" s="4">
        <v>2</v>
      </c>
      <c r="L6" s="5" t="s">
        <v>13</v>
      </c>
      <c r="M6" s="5"/>
    </row>
    <row r="7" spans="1:13" x14ac:dyDescent="0.3">
      <c r="A7" s="2" t="s">
        <v>23</v>
      </c>
      <c r="B7" s="4">
        <v>21472</v>
      </c>
      <c r="C7" s="4">
        <v>55293</v>
      </c>
      <c r="D7" s="4">
        <v>72601</v>
      </c>
      <c r="E7" s="8">
        <v>9.0700000000000004E-4</v>
      </c>
      <c r="F7" s="8">
        <v>19.47</v>
      </c>
      <c r="G7" s="4">
        <v>269</v>
      </c>
      <c r="H7" s="4">
        <v>21472</v>
      </c>
      <c r="I7" s="4">
        <v>2</v>
      </c>
      <c r="J7" s="4">
        <v>1415</v>
      </c>
      <c r="K7" s="4">
        <v>1</v>
      </c>
      <c r="L7" s="4">
        <v>6</v>
      </c>
      <c r="M7" s="5"/>
    </row>
    <row r="8" spans="1:13" x14ac:dyDescent="0.3">
      <c r="A8" s="2" t="s">
        <v>36</v>
      </c>
      <c r="B8" s="4">
        <v>21113</v>
      </c>
      <c r="C8" s="4">
        <v>56800</v>
      </c>
      <c r="D8" s="4">
        <v>79243</v>
      </c>
      <c r="E8" s="8">
        <v>1.1839999999999999E-3</v>
      </c>
      <c r="F8" s="8">
        <v>25</v>
      </c>
      <c r="G8" s="4">
        <v>145</v>
      </c>
      <c r="H8" s="4">
        <v>21113</v>
      </c>
      <c r="I8" s="4">
        <v>2</v>
      </c>
      <c r="J8" s="4">
        <v>1008</v>
      </c>
      <c r="K8" s="4">
        <v>1</v>
      </c>
      <c r="L8" s="4">
        <v>1</v>
      </c>
      <c r="M8" s="5"/>
    </row>
    <row r="9" spans="1:13" x14ac:dyDescent="0.3">
      <c r="A9" s="2" t="s">
        <v>41</v>
      </c>
      <c r="B9" s="4">
        <v>16009</v>
      </c>
      <c r="C9" s="4">
        <v>46792</v>
      </c>
      <c r="D9" s="4">
        <v>54494</v>
      </c>
      <c r="E9" s="8">
        <v>8.4999999999999995E-4</v>
      </c>
      <c r="F9" s="8">
        <v>13.61</v>
      </c>
      <c r="G9" s="4">
        <v>261</v>
      </c>
      <c r="H9" s="4">
        <v>16009</v>
      </c>
      <c r="I9" s="4">
        <v>1</v>
      </c>
      <c r="J9" s="4">
        <v>453</v>
      </c>
      <c r="K9" s="4">
        <v>2</v>
      </c>
      <c r="L9" s="4">
        <v>16</v>
      </c>
      <c r="M9" s="5"/>
    </row>
    <row r="10" spans="1:13" x14ac:dyDescent="0.3">
      <c r="A10" s="2" t="s">
        <v>40</v>
      </c>
      <c r="B10" s="4">
        <v>15413</v>
      </c>
      <c r="C10" s="4">
        <v>36753</v>
      </c>
      <c r="D10" s="4">
        <v>43624</v>
      </c>
      <c r="E10" s="8">
        <v>1.157E-3</v>
      </c>
      <c r="F10" s="8">
        <v>17.829999999999998</v>
      </c>
      <c r="G10" s="4">
        <v>1147</v>
      </c>
      <c r="H10" s="4">
        <v>15413</v>
      </c>
      <c r="I10" s="4">
        <v>3</v>
      </c>
      <c r="J10" s="4">
        <v>51</v>
      </c>
      <c r="K10" s="5" t="s">
        <v>13</v>
      </c>
      <c r="L10" s="4">
        <v>5</v>
      </c>
      <c r="M10" s="5"/>
    </row>
    <row r="11" spans="1:13" x14ac:dyDescent="0.3">
      <c r="A11" s="2" t="s">
        <v>19</v>
      </c>
      <c r="B11" s="4">
        <v>15038</v>
      </c>
      <c r="C11" s="4">
        <v>29207</v>
      </c>
      <c r="D11" s="4">
        <v>33863</v>
      </c>
      <c r="E11" s="8">
        <v>1.33E-3</v>
      </c>
      <c r="F11" s="8">
        <v>20</v>
      </c>
      <c r="G11" s="4">
        <v>443</v>
      </c>
      <c r="H11" s="4">
        <v>15038</v>
      </c>
      <c r="I11" s="4">
        <v>1</v>
      </c>
      <c r="J11" s="4">
        <v>148</v>
      </c>
      <c r="K11" s="4">
        <v>1</v>
      </c>
      <c r="L11" s="4">
        <v>2</v>
      </c>
      <c r="M11" s="5"/>
    </row>
    <row r="12" spans="1:13" x14ac:dyDescent="0.3">
      <c r="A12" s="2" t="s">
        <v>25</v>
      </c>
      <c r="B12" s="4">
        <v>138653</v>
      </c>
      <c r="C12" s="4">
        <v>138653</v>
      </c>
      <c r="D12" s="4">
        <v>139443</v>
      </c>
      <c r="E12" s="8">
        <v>0.33450400000000002</v>
      </c>
      <c r="F12" s="8">
        <v>46.38</v>
      </c>
      <c r="G12" s="4">
        <v>668</v>
      </c>
      <c r="H12" s="4">
        <v>14838</v>
      </c>
      <c r="I12" s="5" t="s">
        <v>13</v>
      </c>
      <c r="J12" s="4">
        <v>46</v>
      </c>
      <c r="K12" s="5" t="s">
        <v>13</v>
      </c>
      <c r="L12" s="4">
        <v>1</v>
      </c>
      <c r="M12" s="5"/>
    </row>
    <row r="13" spans="1:13" x14ac:dyDescent="0.3">
      <c r="A13" s="2" t="s">
        <v>28</v>
      </c>
      <c r="B13" s="4">
        <v>14554</v>
      </c>
      <c r="C13" s="4">
        <v>26744</v>
      </c>
      <c r="D13" s="4">
        <v>41645</v>
      </c>
      <c r="E13" s="8">
        <v>1.7179999999999999E-3</v>
      </c>
      <c r="F13" s="8">
        <v>25</v>
      </c>
      <c r="G13" s="4">
        <v>1080</v>
      </c>
      <c r="H13" s="4">
        <v>14554</v>
      </c>
      <c r="I13" s="4">
        <v>5</v>
      </c>
      <c r="J13" s="4">
        <v>98</v>
      </c>
      <c r="K13" s="5" t="s">
        <v>13</v>
      </c>
      <c r="L13" s="4">
        <v>3</v>
      </c>
      <c r="M13" s="5"/>
    </row>
    <row r="14" spans="1:13" x14ac:dyDescent="0.3">
      <c r="A14" s="2" t="s">
        <v>27</v>
      </c>
      <c r="B14" s="4">
        <v>96130</v>
      </c>
      <c r="C14" s="4">
        <v>96130</v>
      </c>
      <c r="D14" s="4">
        <v>96740</v>
      </c>
      <c r="E14" s="8">
        <v>0.26006400000000002</v>
      </c>
      <c r="F14" s="8">
        <v>25</v>
      </c>
      <c r="G14" s="4">
        <v>157</v>
      </c>
      <c r="H14" s="4">
        <v>14236</v>
      </c>
      <c r="I14" s="4">
        <v>1</v>
      </c>
      <c r="J14" s="4">
        <v>118</v>
      </c>
      <c r="K14" s="4">
        <v>4</v>
      </c>
      <c r="L14" s="5" t="s">
        <v>13</v>
      </c>
      <c r="M14" s="5"/>
    </row>
    <row r="15" spans="1:13" x14ac:dyDescent="0.3">
      <c r="A15" s="2" t="s">
        <v>35</v>
      </c>
      <c r="B15" s="4">
        <v>13108</v>
      </c>
      <c r="C15" s="4">
        <v>19565</v>
      </c>
      <c r="D15" s="4">
        <v>26208</v>
      </c>
      <c r="E15" s="8">
        <v>1.9070000000000001E-3</v>
      </c>
      <c r="F15" s="8">
        <v>25</v>
      </c>
      <c r="G15" s="4">
        <v>272</v>
      </c>
      <c r="H15" s="4">
        <v>13108</v>
      </c>
      <c r="I15" s="5" t="s">
        <v>13</v>
      </c>
      <c r="J15" s="4">
        <v>16</v>
      </c>
      <c r="K15" s="5" t="s">
        <v>13</v>
      </c>
      <c r="L15" s="4">
        <v>1</v>
      </c>
      <c r="M15" s="5"/>
    </row>
    <row r="16" spans="1:13" x14ac:dyDescent="0.3">
      <c r="A16" s="2" t="s">
        <v>24</v>
      </c>
      <c r="B16" s="4">
        <v>10998</v>
      </c>
      <c r="C16" s="4">
        <v>20686</v>
      </c>
      <c r="D16" s="4">
        <v>31924</v>
      </c>
      <c r="E16" s="8">
        <v>1.8860000000000001E-3</v>
      </c>
      <c r="F16" s="8">
        <v>20.74</v>
      </c>
      <c r="G16" s="4">
        <v>817</v>
      </c>
      <c r="H16" s="4">
        <v>10998</v>
      </c>
      <c r="I16" s="4">
        <v>1</v>
      </c>
      <c r="J16" s="4">
        <v>77</v>
      </c>
      <c r="K16" s="4">
        <v>1</v>
      </c>
      <c r="L16" s="5" t="s">
        <v>13</v>
      </c>
      <c r="M16" s="5"/>
    </row>
    <row r="17" spans="1:13" x14ac:dyDescent="0.3">
      <c r="A17" s="2" t="s">
        <v>34</v>
      </c>
      <c r="B17" s="4">
        <v>7067</v>
      </c>
      <c r="C17" s="4">
        <v>17453</v>
      </c>
      <c r="D17" s="4">
        <v>27634</v>
      </c>
      <c r="E17" s="8">
        <v>3.5379999999999999E-3</v>
      </c>
      <c r="F17" s="8">
        <v>25</v>
      </c>
      <c r="G17" s="4">
        <v>93</v>
      </c>
      <c r="H17" s="4">
        <v>7067</v>
      </c>
      <c r="I17" s="4">
        <v>2</v>
      </c>
      <c r="J17" s="4">
        <v>565</v>
      </c>
      <c r="K17" s="4">
        <v>2</v>
      </c>
      <c r="L17" s="5" t="s">
        <v>13</v>
      </c>
      <c r="M17" s="5"/>
    </row>
    <row r="18" spans="1:13" x14ac:dyDescent="0.3">
      <c r="A18" s="2" t="s">
        <v>33</v>
      </c>
      <c r="B18" s="4">
        <v>6715</v>
      </c>
      <c r="C18" s="4">
        <v>9602</v>
      </c>
      <c r="D18" s="4">
        <v>18135</v>
      </c>
      <c r="E18" s="8">
        <v>3.7230000000000002E-3</v>
      </c>
      <c r="F18" s="8">
        <v>25</v>
      </c>
      <c r="G18" s="4">
        <v>357</v>
      </c>
      <c r="H18" s="4">
        <v>6715</v>
      </c>
      <c r="I18" s="5" t="s">
        <v>13</v>
      </c>
      <c r="J18" s="4">
        <v>89</v>
      </c>
      <c r="K18" s="5" t="s">
        <v>13</v>
      </c>
      <c r="L18" s="5" t="s">
        <v>13</v>
      </c>
      <c r="M18" s="5"/>
    </row>
    <row r="19" spans="1:13" x14ac:dyDescent="0.3">
      <c r="A19" s="2" t="s">
        <v>38</v>
      </c>
      <c r="B19" s="4">
        <v>6663</v>
      </c>
      <c r="C19" s="4">
        <v>17422</v>
      </c>
      <c r="D19" s="4">
        <v>18323</v>
      </c>
      <c r="E19" s="8">
        <v>6.5600000000000001E-4</v>
      </c>
      <c r="F19" s="8">
        <v>4.37</v>
      </c>
      <c r="G19" s="4">
        <v>64</v>
      </c>
      <c r="H19" s="4">
        <v>6663</v>
      </c>
      <c r="I19" s="4">
        <v>3</v>
      </c>
      <c r="J19" s="4">
        <v>225</v>
      </c>
      <c r="K19" s="4">
        <v>2</v>
      </c>
      <c r="L19" s="4">
        <v>13</v>
      </c>
      <c r="M19" s="5"/>
    </row>
    <row r="20" spans="1:13" x14ac:dyDescent="0.3">
      <c r="A20" s="2" t="s">
        <v>14</v>
      </c>
      <c r="B20" s="4">
        <v>5839</v>
      </c>
      <c r="C20" s="4">
        <v>28504</v>
      </c>
      <c r="D20" s="4">
        <v>38098</v>
      </c>
      <c r="E20" s="8">
        <v>1.0827E-2</v>
      </c>
      <c r="F20" s="8">
        <v>63.22</v>
      </c>
      <c r="G20" s="4">
        <v>133</v>
      </c>
      <c r="H20" s="4">
        <v>5839</v>
      </c>
      <c r="I20" s="4">
        <v>25</v>
      </c>
      <c r="J20" s="4">
        <v>5723</v>
      </c>
      <c r="K20" s="4">
        <v>3</v>
      </c>
      <c r="L20" s="4">
        <v>4</v>
      </c>
      <c r="M20" s="5"/>
    </row>
    <row r="21" spans="1:13" x14ac:dyDescent="0.3">
      <c r="A21" s="2" t="s">
        <v>16</v>
      </c>
      <c r="B21" s="4">
        <v>5109</v>
      </c>
      <c r="C21" s="4">
        <v>24952</v>
      </c>
      <c r="D21" s="4">
        <v>38554</v>
      </c>
      <c r="E21" s="8">
        <v>1.0307E-2</v>
      </c>
      <c r="F21" s="8">
        <v>52.66</v>
      </c>
      <c r="G21" s="4">
        <v>272</v>
      </c>
      <c r="H21" s="4">
        <v>5109</v>
      </c>
      <c r="I21" s="4">
        <v>14</v>
      </c>
      <c r="J21" s="4">
        <v>4946</v>
      </c>
      <c r="K21" s="4">
        <v>5</v>
      </c>
      <c r="L21" s="4">
        <v>18</v>
      </c>
      <c r="M21" s="5"/>
    </row>
    <row r="22" spans="1:13" x14ac:dyDescent="0.3">
      <c r="A22" s="2" t="s">
        <v>15</v>
      </c>
      <c r="B22" s="4">
        <v>2947</v>
      </c>
      <c r="C22" s="4">
        <v>39324</v>
      </c>
      <c r="D22" s="4">
        <v>78481</v>
      </c>
      <c r="E22" s="8">
        <v>1.7794000000000001E-2</v>
      </c>
      <c r="F22" s="8">
        <v>52.44</v>
      </c>
      <c r="G22" s="4">
        <v>5403</v>
      </c>
      <c r="H22" s="4">
        <v>2947</v>
      </c>
      <c r="I22" s="4">
        <v>22</v>
      </c>
      <c r="J22" s="4">
        <v>508</v>
      </c>
      <c r="K22" s="5" t="s">
        <v>13</v>
      </c>
      <c r="L22" s="4">
        <v>9</v>
      </c>
      <c r="M22" s="5"/>
    </row>
    <row r="23" spans="1:13" x14ac:dyDescent="0.3">
      <c r="A23" s="2" t="s">
        <v>32</v>
      </c>
      <c r="B23" s="4">
        <v>2778</v>
      </c>
      <c r="C23" s="4">
        <v>14645</v>
      </c>
      <c r="D23" s="4">
        <v>19020</v>
      </c>
      <c r="E23" s="8">
        <v>5.4000000000000003E-3</v>
      </c>
      <c r="F23" s="8">
        <v>15</v>
      </c>
      <c r="G23" s="4">
        <v>96</v>
      </c>
      <c r="H23" s="4">
        <v>2778</v>
      </c>
      <c r="I23" s="5" t="s">
        <v>13</v>
      </c>
      <c r="J23" s="4">
        <v>2726</v>
      </c>
      <c r="K23" s="4">
        <v>1</v>
      </c>
      <c r="L23" s="5" t="s">
        <v>13</v>
      </c>
      <c r="M23" s="5"/>
    </row>
    <row r="24" spans="1:13" x14ac:dyDescent="0.3">
      <c r="A24" s="2" t="s">
        <v>46</v>
      </c>
      <c r="B24" s="4">
        <v>2090</v>
      </c>
      <c r="C24" s="4">
        <v>9614</v>
      </c>
      <c r="D24" s="4">
        <v>11659</v>
      </c>
      <c r="E24" s="8">
        <v>6.4019999999999997E-3</v>
      </c>
      <c r="F24" s="8">
        <v>13.38</v>
      </c>
      <c r="G24" s="4">
        <v>64</v>
      </c>
      <c r="H24" s="4">
        <v>2090</v>
      </c>
      <c r="I24" s="4">
        <v>4</v>
      </c>
      <c r="J24" s="4">
        <v>2046</v>
      </c>
      <c r="K24" s="4">
        <v>1</v>
      </c>
      <c r="L24" s="5" t="s">
        <v>13</v>
      </c>
      <c r="M24" s="4"/>
    </row>
    <row r="25" spans="1:13" x14ac:dyDescent="0.3">
      <c r="A25" s="2" t="s">
        <v>18</v>
      </c>
      <c r="B25" s="4">
        <v>1878</v>
      </c>
      <c r="C25" s="4">
        <v>25488</v>
      </c>
      <c r="D25" s="4">
        <v>40928</v>
      </c>
      <c r="E25" s="8">
        <v>1.3311999999999999E-2</v>
      </c>
      <c r="F25" s="8">
        <v>25</v>
      </c>
      <c r="G25" s="4">
        <v>2975</v>
      </c>
      <c r="H25" s="4">
        <v>1878</v>
      </c>
      <c r="I25" s="4">
        <v>17</v>
      </c>
      <c r="J25" s="4">
        <v>321</v>
      </c>
      <c r="K25" s="5" t="s">
        <v>13</v>
      </c>
      <c r="L25" s="4">
        <v>3</v>
      </c>
      <c r="M25" s="5"/>
    </row>
    <row r="26" spans="1:13" x14ac:dyDescent="0.3">
      <c r="A26" s="2" t="s">
        <v>12</v>
      </c>
      <c r="B26" s="4">
        <v>1647</v>
      </c>
      <c r="C26" s="4">
        <v>18580</v>
      </c>
      <c r="D26" s="4">
        <v>30727</v>
      </c>
      <c r="E26" s="8">
        <v>4.5155000000000001E-2</v>
      </c>
      <c r="F26" s="8">
        <v>74.37</v>
      </c>
      <c r="G26" s="4">
        <v>1886</v>
      </c>
      <c r="H26" s="4">
        <v>1647</v>
      </c>
      <c r="I26" s="4">
        <v>17</v>
      </c>
      <c r="J26" s="4">
        <v>1465</v>
      </c>
      <c r="K26" s="5" t="s">
        <v>13</v>
      </c>
      <c r="L26" s="4">
        <v>19</v>
      </c>
      <c r="M26" s="5"/>
    </row>
    <row r="27" spans="1:13" x14ac:dyDescent="0.3">
      <c r="A27" s="2" t="s">
        <v>22</v>
      </c>
      <c r="B27" s="4">
        <v>1291</v>
      </c>
      <c r="C27" s="4">
        <v>14836</v>
      </c>
      <c r="D27" s="4">
        <v>29504</v>
      </c>
      <c r="E27" s="8">
        <v>1.5492000000000001E-2</v>
      </c>
      <c r="F27" s="8">
        <v>20</v>
      </c>
      <c r="G27" s="4">
        <v>1543</v>
      </c>
      <c r="H27" s="4">
        <v>1291</v>
      </c>
      <c r="I27" s="4">
        <v>2</v>
      </c>
      <c r="J27" s="4">
        <v>234</v>
      </c>
      <c r="K27" s="5" t="s">
        <v>13</v>
      </c>
      <c r="L27" s="4">
        <v>1</v>
      </c>
      <c r="M27" s="5"/>
    </row>
    <row r="28" spans="1:13" x14ac:dyDescent="0.3">
      <c r="A28" s="2" t="s">
        <v>39</v>
      </c>
      <c r="B28" s="4">
        <v>1235</v>
      </c>
      <c r="C28" s="4">
        <v>11271</v>
      </c>
      <c r="D28" s="4">
        <v>12695</v>
      </c>
      <c r="E28" s="8">
        <v>5.7980000000000002E-3</v>
      </c>
      <c r="F28" s="8">
        <v>7.16</v>
      </c>
      <c r="G28" s="4">
        <v>1492</v>
      </c>
      <c r="H28" s="4">
        <v>1235</v>
      </c>
      <c r="I28" s="4">
        <v>8</v>
      </c>
      <c r="J28" s="4">
        <v>74</v>
      </c>
      <c r="K28" s="5" t="s">
        <v>13</v>
      </c>
      <c r="L28" s="4">
        <v>1</v>
      </c>
      <c r="M28" s="5"/>
    </row>
    <row r="29" spans="1:13" x14ac:dyDescent="0.3">
      <c r="A29" s="2" t="s">
        <v>17</v>
      </c>
      <c r="B29" s="4">
        <v>396</v>
      </c>
      <c r="C29" s="4">
        <v>49985</v>
      </c>
      <c r="D29" s="4">
        <v>63933</v>
      </c>
      <c r="E29" s="8">
        <v>6.3131000000000007E-2</v>
      </c>
      <c r="F29" s="8">
        <v>25</v>
      </c>
      <c r="G29" s="4">
        <v>567</v>
      </c>
      <c r="H29" s="4">
        <v>734</v>
      </c>
      <c r="I29" s="5" t="s">
        <v>13</v>
      </c>
      <c r="J29" s="4">
        <v>326</v>
      </c>
      <c r="K29" s="4">
        <v>7</v>
      </c>
      <c r="L29" s="4">
        <v>5</v>
      </c>
      <c r="M29" s="5"/>
    </row>
    <row r="30" spans="1:13" x14ac:dyDescent="0.3">
      <c r="A30" s="2" t="s">
        <v>31</v>
      </c>
      <c r="B30" s="4">
        <v>689</v>
      </c>
      <c r="C30" s="4">
        <v>9422</v>
      </c>
      <c r="D30" s="4">
        <v>14800</v>
      </c>
      <c r="E30" s="8">
        <v>2.1770999999999999E-2</v>
      </c>
      <c r="F30" s="8">
        <v>15</v>
      </c>
      <c r="G30" s="4">
        <v>1391</v>
      </c>
      <c r="H30" s="4">
        <v>690</v>
      </c>
      <c r="I30" s="4">
        <v>9</v>
      </c>
      <c r="J30" s="4">
        <v>393</v>
      </c>
      <c r="K30" s="5" t="s">
        <v>13</v>
      </c>
      <c r="L30" s="4">
        <v>2</v>
      </c>
      <c r="M30" s="5"/>
    </row>
    <row r="31" spans="1:13" x14ac:dyDescent="0.3">
      <c r="A31" s="2" t="s">
        <v>43</v>
      </c>
      <c r="B31" s="4">
        <v>568</v>
      </c>
      <c r="C31" s="4">
        <v>11073</v>
      </c>
      <c r="D31" s="4">
        <v>15913</v>
      </c>
      <c r="E31" s="8">
        <v>2.4664999999999999E-2</v>
      </c>
      <c r="F31" s="8">
        <v>14.01</v>
      </c>
      <c r="G31" s="4">
        <v>726</v>
      </c>
      <c r="H31" s="4">
        <v>568</v>
      </c>
      <c r="I31" s="4">
        <v>3</v>
      </c>
      <c r="J31" s="4">
        <v>89</v>
      </c>
      <c r="K31" s="5" t="s">
        <v>13</v>
      </c>
      <c r="L31" s="5" t="s">
        <v>13</v>
      </c>
      <c r="M31" s="5"/>
    </row>
    <row r="32" spans="1:13" x14ac:dyDescent="0.3">
      <c r="A32" s="2" t="s">
        <v>21</v>
      </c>
      <c r="B32" s="4">
        <v>149651</v>
      </c>
      <c r="C32" s="4">
        <v>149651</v>
      </c>
      <c r="D32" s="4">
        <v>149651</v>
      </c>
      <c r="E32" s="8">
        <v>0.13364400000000001</v>
      </c>
      <c r="F32" s="8">
        <v>20</v>
      </c>
      <c r="G32" s="4">
        <v>199</v>
      </c>
      <c r="H32" s="4">
        <v>364</v>
      </c>
      <c r="I32" s="5" t="s">
        <v>13</v>
      </c>
      <c r="J32" s="4">
        <v>298</v>
      </c>
      <c r="K32" s="4">
        <v>1</v>
      </c>
      <c r="L32" s="4">
        <v>1</v>
      </c>
      <c r="M32" s="5"/>
    </row>
    <row r="33" spans="1:13" x14ac:dyDescent="0.3">
      <c r="A33" s="2" t="s">
        <v>44</v>
      </c>
      <c r="B33" s="4">
        <v>68894</v>
      </c>
      <c r="C33" s="4">
        <v>68894</v>
      </c>
      <c r="D33" s="4">
        <v>68894</v>
      </c>
      <c r="E33" s="8">
        <v>0.15850400000000001</v>
      </c>
      <c r="F33" s="8">
        <v>10.92</v>
      </c>
      <c r="G33" s="4">
        <v>134</v>
      </c>
      <c r="H33" s="4">
        <v>306</v>
      </c>
      <c r="I33" s="5" t="s">
        <v>13</v>
      </c>
      <c r="J33" s="4">
        <v>194</v>
      </c>
      <c r="K33" s="4">
        <v>8</v>
      </c>
      <c r="L33" s="4">
        <v>30</v>
      </c>
      <c r="M33" s="5"/>
    </row>
    <row r="34" spans="1:13" x14ac:dyDescent="0.3">
      <c r="A34" s="2" t="s">
        <v>45</v>
      </c>
      <c r="B34" s="4">
        <v>272</v>
      </c>
      <c r="C34" s="4">
        <v>4134</v>
      </c>
      <c r="D34" s="4">
        <v>5467</v>
      </c>
      <c r="E34" s="8">
        <v>1.8970999999999998E-2</v>
      </c>
      <c r="F34" s="8">
        <v>5.16</v>
      </c>
      <c r="G34" s="4">
        <v>530</v>
      </c>
      <c r="H34" s="4">
        <v>272</v>
      </c>
      <c r="I34" s="4">
        <v>4</v>
      </c>
      <c r="J34" s="4">
        <v>110</v>
      </c>
      <c r="K34" s="5" t="s">
        <v>13</v>
      </c>
      <c r="L34" s="4">
        <v>1</v>
      </c>
      <c r="M34" s="5"/>
    </row>
    <row r="35" spans="1:13" x14ac:dyDescent="0.3">
      <c r="A35" s="2" t="s">
        <v>42</v>
      </c>
      <c r="B35" s="4">
        <v>87078</v>
      </c>
      <c r="C35" s="4">
        <v>87078</v>
      </c>
      <c r="D35" s="4">
        <v>87078</v>
      </c>
      <c r="E35" s="8">
        <v>0.160775</v>
      </c>
      <c r="F35" s="8">
        <v>14</v>
      </c>
      <c r="G35" s="4">
        <v>126</v>
      </c>
      <c r="H35" s="4">
        <v>155</v>
      </c>
      <c r="I35" s="4">
        <v>1</v>
      </c>
      <c r="J35" s="4">
        <v>88</v>
      </c>
      <c r="K35" s="4">
        <v>1</v>
      </c>
      <c r="L35" s="4">
        <v>3</v>
      </c>
      <c r="M35" s="5"/>
    </row>
    <row r="37" spans="1:13" x14ac:dyDescent="0.3">
      <c r="B37" s="3" t="s">
        <v>1</v>
      </c>
      <c r="C37" s="3" t="s">
        <v>2</v>
      </c>
      <c r="D37" s="3" t="s">
        <v>3</v>
      </c>
      <c r="E37" s="7" t="s">
        <v>4</v>
      </c>
      <c r="F37" s="7" t="s">
        <v>5</v>
      </c>
      <c r="G37" s="3" t="s">
        <v>6</v>
      </c>
      <c r="H37" s="3" t="s">
        <v>7</v>
      </c>
      <c r="I37" s="3" t="s">
        <v>8</v>
      </c>
      <c r="J37" s="3" t="s">
        <v>9</v>
      </c>
      <c r="K37" s="3" t="s">
        <v>10</v>
      </c>
      <c r="L37" s="3" t="s">
        <v>11</v>
      </c>
    </row>
    <row r="38" spans="1:13" x14ac:dyDescent="0.3">
      <c r="A38" s="2" t="s">
        <v>47</v>
      </c>
      <c r="B38" s="10">
        <f>SUM(B2:B37)</f>
        <v>1137179</v>
      </c>
      <c r="C38" s="10">
        <f t="shared" ref="C38:L38" si="0">SUM(C2:C37)</f>
        <v>1702614</v>
      </c>
      <c r="D38" s="10">
        <f t="shared" si="0"/>
        <v>2098900</v>
      </c>
      <c r="E38" s="9">
        <v>0.01</v>
      </c>
      <c r="F38" s="9">
        <f t="shared" si="0"/>
        <v>918.82999999999981</v>
      </c>
      <c r="G38" s="10">
        <f t="shared" si="0"/>
        <v>31582</v>
      </c>
      <c r="H38" s="10">
        <f t="shared" si="0"/>
        <v>384966</v>
      </c>
      <c r="I38" s="10">
        <f t="shared" si="0"/>
        <v>224</v>
      </c>
      <c r="J38" s="10">
        <f t="shared" si="0"/>
        <v>28981</v>
      </c>
      <c r="K38" s="10">
        <f t="shared" si="0"/>
        <v>98</v>
      </c>
      <c r="L38" s="10">
        <f t="shared" si="0"/>
        <v>414</v>
      </c>
    </row>
  </sheetData>
  <sortState xmlns:xlrd2="http://schemas.microsoft.com/office/spreadsheetml/2017/richdata2" ref="A2:L35">
    <sortCondition descending="1" ref="H2:H3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Jamil Mirgavvam</dc:creator>
  <cp:lastModifiedBy>Jamil Mirgavvam</cp:lastModifiedBy>
  <dcterms:created xsi:type="dcterms:W3CDTF">2021-04-02T02:55:59Z</dcterms:created>
  <dcterms:modified xsi:type="dcterms:W3CDTF">2021-04-02T03:23:39Z</dcterms:modified>
</cp:coreProperties>
</file>